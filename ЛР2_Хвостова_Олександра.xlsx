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niversity\5 semester\analisis\"/>
    </mc:Choice>
  </mc:AlternateContent>
  <xr:revisionPtr revIDLastSave="0" documentId="13_ncr:1_{3340EFF9-F864-4942-89FA-8CEE7E36DD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одель" sheetId="1" r:id="rId1"/>
    <sheet name="Звіт про стійкість" sheetId="4" r:id="rId2"/>
  </sheets>
  <definedNames>
    <definedName name="solver_adj" localSheetId="0" hidden="1">Модель!$B$5:$E$5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Модель!$F$9:$F$13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Модель!$F$15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Модель!$H$9:$H$13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F13" i="1"/>
  <c r="I13" i="1" s="1"/>
  <c r="F12" i="1"/>
  <c r="I12" i="1" s="1"/>
  <c r="F11" i="1"/>
  <c r="I11" i="1" s="1"/>
  <c r="F10" i="1"/>
  <c r="F9" i="1"/>
  <c r="I9" i="1" l="1"/>
  <c r="I10" i="1"/>
</calcChain>
</file>

<file path=xl/sharedStrings.xml><?xml version="1.0" encoding="utf-8"?>
<sst xmlns="http://schemas.openxmlformats.org/spreadsheetml/2006/main" count="68" uniqueCount="58">
  <si>
    <t>Варіант 12 · «Друк-Сервіс» · Хвостова Олександра, ШІ-32 — виробнича задача (тис. прим./тиждень)</t>
  </si>
  <si>
    <t>Виріб</t>
  </si>
  <si>
    <t>Буклет</t>
  </si>
  <si>
    <t>Каталог</t>
  </si>
  <si>
    <t>Календар</t>
  </si>
  <si>
    <t>Плакат</t>
  </si>
  <si>
    <t>Використано</t>
  </si>
  <si>
    <t>Запас</t>
  </si>
  <si>
    <t>Залишок</t>
  </si>
  <si>
    <t>Змінні рішення x (обсяг випуску)</t>
  </si>
  <si>
    <t>Прибуток з одиниці c</t>
  </si>
  <si>
    <t>Витрати ресурсу на одиницю виробу (матриця A)</t>
  </si>
  <si>
    <t>Крейдований папір, кг</t>
  </si>
  <si>
    <t>Офсетний папір, кг</t>
  </si>
  <si>
    <t>Фарба, кг</t>
  </si>
  <si>
    <t>Друкарська машина, год</t>
  </si>
  <si>
    <t>Різка й фальцювання, год</t>
  </si>
  <si>
    <t>Цільова функція: прибуток = SUMPRODUCT(c; x)</t>
  </si>
  <si>
    <t>Обмеження</t>
  </si>
  <si>
    <t>Ресурс</t>
  </si>
  <si>
    <t>Лист: [ЛР2_Хвостова_Олександра.xlsx]Модель</t>
  </si>
  <si>
    <t>$B$5</t>
  </si>
  <si>
    <t>Змінні рішення x (обсяг випуску) Буклет</t>
  </si>
  <si>
    <t>$C$5</t>
  </si>
  <si>
    <t>Змінні рішення x (обсяг випуску) Каталог</t>
  </si>
  <si>
    <t>$D$5</t>
  </si>
  <si>
    <t>Змінні рішення x (обсяг випуску) Календар</t>
  </si>
  <si>
    <t>$E$5</t>
  </si>
  <si>
    <t>Змінні рішення x (обсяг випуску) Плакат</t>
  </si>
  <si>
    <t>$F$9</t>
  </si>
  <si>
    <t>Крейдований папір, кг Використано</t>
  </si>
  <si>
    <t>$F$10</t>
  </si>
  <si>
    <t>Офсетний папір, кг Використано</t>
  </si>
  <si>
    <t>$F$11</t>
  </si>
  <si>
    <t>Фарба, кг Використано</t>
  </si>
  <si>
    <t>$F$12</t>
  </si>
  <si>
    <t>Друкарська машина, год Використано</t>
  </si>
  <si>
    <t>$F$13</t>
  </si>
  <si>
    <t>Різка й фальцювання, год Використано</t>
  </si>
  <si>
    <t>$B$5:$E$5</t>
  </si>
  <si>
    <t>$F$9:$F$13 &lt;= $H$9:$H$13</t>
  </si>
  <si>
    <t>Кінцеве</t>
  </si>
  <si>
    <t>значення</t>
  </si>
  <si>
    <t xml:space="preserve">Зведена </t>
  </si>
  <si>
    <t>вартість</t>
  </si>
  <si>
    <t>Цільовий</t>
  </si>
  <si>
    <t>Коефіцієнт</t>
  </si>
  <si>
    <t>Допустиме</t>
  </si>
  <si>
    <t>Збільшення</t>
  </si>
  <si>
    <t>Зменшення</t>
  </si>
  <si>
    <t>Тіньова</t>
  </si>
  <si>
    <t>Ціна</t>
  </si>
  <si>
    <t>Права сторона</t>
  </si>
  <si>
    <t>Ім'я</t>
  </si>
  <si>
    <t>Звіт створено: 07.10.2026 0:04:05</t>
  </si>
  <si>
    <t>Microsoft Excel 16.0 Звіт про стійкість</t>
  </si>
  <si>
    <t>Клітинки змінних</t>
  </si>
  <si>
    <t>Налаштування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</si>
</sst>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3" fillId="0" borderId="1" xfId="0" applyFont="1" applyBorder="1"/>
    <xf numFmtId="164" fontId="2" fillId="0" borderId="1" xfId="0" applyNumberFormat="1" applyFont="1" applyBorder="1"/>
    <xf numFmtId="164" fontId="1" fillId="4" borderId="1" xfId="0" applyNumberFormat="1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6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16</xdr:row>
      <xdr:rowOff>7620</xdr:rowOff>
    </xdr:from>
    <xdr:to>
      <xdr:col>3</xdr:col>
      <xdr:colOff>503151</xdr:colOff>
      <xdr:row>36</xdr:row>
      <xdr:rowOff>152753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960375E-DEE9-C32C-D811-1C2595FE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933700"/>
          <a:ext cx="4015971" cy="3802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>
      <selection activeCell="H21" sqref="H21"/>
    </sheetView>
  </sheetViews>
  <sheetFormatPr defaultColWidth="8.6640625" defaultRowHeight="14.4" x14ac:dyDescent="0.3"/>
  <cols>
    <col min="1" max="1" width="46" customWidth="1"/>
    <col min="2" max="9" width="14" customWidth="1"/>
  </cols>
  <sheetData>
    <row r="1" spans="1:9" x14ac:dyDescent="0.3">
      <c r="A1" s="1" t="s">
        <v>0</v>
      </c>
    </row>
    <row r="2" spans="1:9" x14ac:dyDescent="0.3">
      <c r="A2" s="2"/>
    </row>
    <row r="4" spans="1:9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/>
      <c r="H4" s="3" t="s">
        <v>7</v>
      </c>
      <c r="I4" s="3" t="s">
        <v>8</v>
      </c>
    </row>
    <row r="5" spans="1:9" x14ac:dyDescent="0.3">
      <c r="A5" s="1" t="s">
        <v>9</v>
      </c>
      <c r="B5" s="4">
        <v>0</v>
      </c>
      <c r="C5" s="4">
        <v>73.291666666666657</v>
      </c>
      <c r="D5" s="4">
        <v>47.625</v>
      </c>
      <c r="E5" s="4">
        <v>0</v>
      </c>
    </row>
    <row r="6" spans="1:9" x14ac:dyDescent="0.3">
      <c r="A6" s="1" t="s">
        <v>10</v>
      </c>
      <c r="B6" s="5">
        <v>39</v>
      </c>
      <c r="C6" s="5">
        <v>55</v>
      </c>
      <c r="D6" s="5">
        <v>36</v>
      </c>
      <c r="E6" s="5">
        <v>26</v>
      </c>
    </row>
    <row r="8" spans="1:9" x14ac:dyDescent="0.3">
      <c r="A8" s="1" t="s">
        <v>11</v>
      </c>
    </row>
    <row r="9" spans="1:9" x14ac:dyDescent="0.3">
      <c r="A9" s="2" t="s">
        <v>12</v>
      </c>
      <c r="B9" s="5">
        <v>5</v>
      </c>
      <c r="C9" s="5">
        <v>2</v>
      </c>
      <c r="D9" s="5">
        <v>0</v>
      </c>
      <c r="E9" s="5">
        <v>5</v>
      </c>
      <c r="F9" s="6">
        <f>SUMPRODUCT($B$5:$E$5,B9:E9)</f>
        <v>146.58333333333331</v>
      </c>
      <c r="H9" s="5">
        <v>788</v>
      </c>
      <c r="I9" s="6">
        <f>H9-F9</f>
        <v>641.41666666666674</v>
      </c>
    </row>
    <row r="10" spans="1:9" x14ac:dyDescent="0.3">
      <c r="A10" s="2" t="s">
        <v>13</v>
      </c>
      <c r="B10" s="5">
        <v>1</v>
      </c>
      <c r="C10" s="5">
        <v>1</v>
      </c>
      <c r="D10" s="5">
        <v>3</v>
      </c>
      <c r="E10" s="5">
        <v>6</v>
      </c>
      <c r="F10" s="6">
        <f>SUMPRODUCT($B$5:$E$5,B10:E10)</f>
        <v>216.16666666666666</v>
      </c>
      <c r="H10" s="5">
        <v>661</v>
      </c>
      <c r="I10" s="6">
        <f>H10-F10</f>
        <v>444.83333333333337</v>
      </c>
    </row>
    <row r="11" spans="1:9" x14ac:dyDescent="0.3">
      <c r="A11" s="2" t="s">
        <v>14</v>
      </c>
      <c r="B11" s="5">
        <v>6</v>
      </c>
      <c r="C11" s="5">
        <v>3</v>
      </c>
      <c r="D11" s="5">
        <v>5</v>
      </c>
      <c r="E11" s="5">
        <v>4</v>
      </c>
      <c r="F11" s="6">
        <f>SUMPRODUCT($B$5:$E$5,B11:E11)</f>
        <v>458</v>
      </c>
      <c r="H11" s="5">
        <v>458</v>
      </c>
      <c r="I11" s="6">
        <f>H11-F11</f>
        <v>0</v>
      </c>
    </row>
    <row r="12" spans="1:9" x14ac:dyDescent="0.3">
      <c r="A12" s="2" t="s">
        <v>15</v>
      </c>
      <c r="B12" s="5">
        <v>2</v>
      </c>
      <c r="C12" s="5">
        <v>4</v>
      </c>
      <c r="D12" s="5">
        <v>6</v>
      </c>
      <c r="E12" s="5">
        <v>0</v>
      </c>
      <c r="F12" s="6">
        <f>SUMPRODUCT($B$5:$E$5,B12:E12)</f>
        <v>578.91666666666663</v>
      </c>
      <c r="H12" s="5">
        <v>1005</v>
      </c>
      <c r="I12" s="6">
        <f>H12-F12</f>
        <v>426.08333333333337</v>
      </c>
    </row>
    <row r="13" spans="1:9" x14ac:dyDescent="0.3">
      <c r="A13" s="2" t="s">
        <v>16</v>
      </c>
      <c r="B13" s="5">
        <v>4</v>
      </c>
      <c r="C13" s="5">
        <v>6</v>
      </c>
      <c r="D13" s="5">
        <v>2</v>
      </c>
      <c r="E13" s="5">
        <v>4</v>
      </c>
      <c r="F13" s="6">
        <f>SUMPRODUCT($B$5:$E$5,B13:E13)</f>
        <v>535</v>
      </c>
      <c r="H13" s="5">
        <v>535</v>
      </c>
      <c r="I13" s="6">
        <f>H13-F13</f>
        <v>0</v>
      </c>
    </row>
    <row r="15" spans="1:9" x14ac:dyDescent="0.3">
      <c r="A15" s="1" t="s">
        <v>17</v>
      </c>
      <c r="F15" s="7">
        <f>SUMPRODUCT(B5:E5,B6:E6)</f>
        <v>5745.5416666666661</v>
      </c>
    </row>
    <row r="17" spans="1:1" x14ac:dyDescent="0.3">
      <c r="A17" s="1"/>
    </row>
    <row r="18" spans="1:1" x14ac:dyDescent="0.3">
      <c r="A18" s="16" t="s">
        <v>57</v>
      </c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5" spans="1:1" x14ac:dyDescent="0.3">
      <c r="A25" s="2"/>
    </row>
  </sheetData>
  <scenarios current="0">
    <scenario name="Звіт" count="4" user="Oleksandra Khvostova" comment="Автор: Oleksandra Khvostova , 10/7/2026">
      <inputCells r="B5" val="0" numFmtId="164"/>
      <inputCells r="C5" val="73.2916666666667" numFmtId="164"/>
      <inputCells r="D5" val="47.625" numFmtId="164"/>
      <inputCells r="E5" val="0" numFmtId="164"/>
    </scenario>
  </scenario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0517-250C-4E67-879A-4D9BEF127CDA}">
  <dimension ref="A1:H24"/>
  <sheetViews>
    <sheetView showGridLines="0" workbookViewId="0">
      <selection activeCell="A17" sqref="A17"/>
    </sheetView>
  </sheetViews>
  <sheetFormatPr defaultRowHeight="14.4" outlineLevelRow="1" x14ac:dyDescent="0.3"/>
  <cols>
    <col min="1" max="1" width="2.33203125" customWidth="1"/>
    <col min="2" max="2" width="7.21875" bestFit="1" customWidth="1"/>
    <col min="3" max="3" width="38.33203125" bestFit="1" customWidth="1"/>
    <col min="4" max="4" width="14.6640625" bestFit="1" customWidth="1"/>
    <col min="5" max="5" width="12.6640625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10" t="s">
        <v>55</v>
      </c>
      <c r="B1" s="11"/>
      <c r="C1" s="11"/>
      <c r="D1" s="11"/>
      <c r="E1" s="11"/>
      <c r="F1" s="11"/>
      <c r="G1" s="11"/>
      <c r="H1" s="11"/>
    </row>
    <row r="2" spans="1:8" x14ac:dyDescent="0.3">
      <c r="A2" s="10" t="s">
        <v>20</v>
      </c>
      <c r="B2" s="11"/>
      <c r="C2" s="11"/>
      <c r="D2" s="11"/>
      <c r="E2" s="11"/>
      <c r="F2" s="11"/>
      <c r="G2" s="11"/>
      <c r="H2" s="11"/>
    </row>
    <row r="3" spans="1:8" x14ac:dyDescent="0.3">
      <c r="A3" s="10" t="s">
        <v>54</v>
      </c>
      <c r="B3" s="11"/>
      <c r="C3" s="11"/>
      <c r="D3" s="11"/>
      <c r="E3" s="11"/>
      <c r="F3" s="11"/>
      <c r="G3" s="11"/>
      <c r="H3" s="11"/>
    </row>
    <row r="4" spans="1:8" x14ac:dyDescent="0.3">
      <c r="A4" s="11"/>
      <c r="B4" s="11"/>
      <c r="C4" s="11"/>
      <c r="D4" s="11"/>
      <c r="E4" s="11"/>
      <c r="F4" s="11"/>
      <c r="G4" s="11"/>
      <c r="H4" s="11"/>
    </row>
    <row r="5" spans="1:8" x14ac:dyDescent="0.3">
      <c r="A5" s="11"/>
      <c r="B5" s="11"/>
      <c r="C5" s="11"/>
      <c r="D5" s="11"/>
      <c r="E5" s="11"/>
      <c r="F5" s="11"/>
      <c r="G5" s="11"/>
      <c r="H5" s="11"/>
    </row>
    <row r="6" spans="1:8" ht="15" thickBot="1" x14ac:dyDescent="0.35">
      <c r="A6" s="11" t="s">
        <v>56</v>
      </c>
      <c r="B6" s="11"/>
      <c r="C6" s="11"/>
      <c r="D6" s="11"/>
      <c r="E6" s="11"/>
      <c r="F6" s="11"/>
      <c r="G6" s="11"/>
      <c r="H6" s="11"/>
    </row>
    <row r="7" spans="1:8" x14ac:dyDescent="0.3">
      <c r="A7" s="11"/>
      <c r="B7" s="12"/>
      <c r="C7" s="12"/>
      <c r="D7" s="12" t="s">
        <v>41</v>
      </c>
      <c r="E7" s="12" t="s">
        <v>43</v>
      </c>
      <c r="F7" s="12" t="s">
        <v>45</v>
      </c>
      <c r="G7" s="12" t="s">
        <v>47</v>
      </c>
      <c r="H7" s="12" t="s">
        <v>47</v>
      </c>
    </row>
    <row r="8" spans="1:8" ht="15" thickBot="1" x14ac:dyDescent="0.35">
      <c r="A8" s="11"/>
      <c r="B8" s="13" t="s">
        <v>1</v>
      </c>
      <c r="C8" s="13" t="s">
        <v>53</v>
      </c>
      <c r="D8" s="13" t="s">
        <v>42</v>
      </c>
      <c r="E8" s="13" t="s">
        <v>44</v>
      </c>
      <c r="F8" s="13" t="s">
        <v>46</v>
      </c>
      <c r="G8" s="13" t="s">
        <v>48</v>
      </c>
      <c r="H8" s="13" t="s">
        <v>49</v>
      </c>
    </row>
    <row r="9" spans="1:8" x14ac:dyDescent="0.3">
      <c r="A9" s="11"/>
      <c r="B9" s="9" t="s">
        <v>39</v>
      </c>
      <c r="C9" s="8"/>
      <c r="D9" s="8"/>
      <c r="E9" s="8"/>
      <c r="F9" s="8"/>
      <c r="G9" s="8"/>
      <c r="H9" s="8"/>
    </row>
    <row r="10" spans="1:8" outlineLevel="1" x14ac:dyDescent="0.3">
      <c r="A10" s="11"/>
      <c r="B10" s="14" t="s">
        <v>21</v>
      </c>
      <c r="C10" s="14" t="s">
        <v>22</v>
      </c>
      <c r="D10" s="14">
        <v>0</v>
      </c>
      <c r="E10" s="14">
        <v>-15.333333333333332</v>
      </c>
      <c r="F10" s="14">
        <v>39</v>
      </c>
      <c r="G10" s="14">
        <v>15.333333333333332</v>
      </c>
      <c r="H10" s="14">
        <v>1E+30</v>
      </c>
    </row>
    <row r="11" spans="1:8" outlineLevel="1" x14ac:dyDescent="0.3">
      <c r="A11" s="11"/>
      <c r="B11" s="14" t="s">
        <v>23</v>
      </c>
      <c r="C11" s="14" t="s">
        <v>24</v>
      </c>
      <c r="D11" s="14">
        <v>73.291666666666657</v>
      </c>
      <c r="E11" s="14">
        <v>0</v>
      </c>
      <c r="F11" s="14">
        <v>55</v>
      </c>
      <c r="G11" s="14">
        <v>53.000000000000007</v>
      </c>
      <c r="H11" s="14">
        <v>33.4</v>
      </c>
    </row>
    <row r="12" spans="1:8" outlineLevel="1" x14ac:dyDescent="0.3">
      <c r="A12" s="11"/>
      <c r="B12" s="14" t="s">
        <v>25</v>
      </c>
      <c r="C12" s="14" t="s">
        <v>26</v>
      </c>
      <c r="D12" s="14">
        <v>47.625</v>
      </c>
      <c r="E12" s="14">
        <v>0</v>
      </c>
      <c r="F12" s="14">
        <v>36</v>
      </c>
      <c r="G12" s="14">
        <v>55.666666666666657</v>
      </c>
      <c r="H12" s="14">
        <v>15.333333333333332</v>
      </c>
    </row>
    <row r="13" spans="1:8" ht="15" outlineLevel="1" thickBot="1" x14ac:dyDescent="0.35">
      <c r="A13" s="11"/>
      <c r="B13" s="15" t="s">
        <v>27</v>
      </c>
      <c r="C13" s="15" t="s">
        <v>28</v>
      </c>
      <c r="D13" s="15">
        <v>0</v>
      </c>
      <c r="E13" s="15">
        <v>-19.5</v>
      </c>
      <c r="F13" s="15">
        <v>26</v>
      </c>
      <c r="G13" s="15">
        <v>19.5</v>
      </c>
      <c r="H13" s="15">
        <v>1E+30</v>
      </c>
    </row>
    <row r="14" spans="1:8" x14ac:dyDescent="0.3">
      <c r="A14" s="11"/>
      <c r="B14" s="11"/>
      <c r="C14" s="11"/>
      <c r="D14" s="11"/>
      <c r="E14" s="11"/>
      <c r="F14" s="11"/>
      <c r="G14" s="11"/>
      <c r="H14" s="11"/>
    </row>
    <row r="15" spans="1:8" x14ac:dyDescent="0.3">
      <c r="A15" s="11"/>
      <c r="B15" s="11"/>
      <c r="C15" s="11"/>
      <c r="D15" s="11"/>
      <c r="E15" s="11"/>
      <c r="F15" s="11"/>
      <c r="G15" s="11"/>
      <c r="H15" s="11"/>
    </row>
    <row r="16" spans="1:8" ht="15" thickBot="1" x14ac:dyDescent="0.35">
      <c r="A16" s="11" t="s">
        <v>18</v>
      </c>
      <c r="B16" s="11"/>
      <c r="C16" s="11"/>
      <c r="D16" s="11"/>
      <c r="E16" s="11"/>
      <c r="F16" s="11"/>
      <c r="G16" s="11"/>
      <c r="H16" s="11"/>
    </row>
    <row r="17" spans="1:8" x14ac:dyDescent="0.3">
      <c r="A17" s="11"/>
      <c r="B17" s="12"/>
      <c r="C17" s="12"/>
      <c r="D17" s="12" t="s">
        <v>41</v>
      </c>
      <c r="E17" s="12" t="s">
        <v>50</v>
      </c>
      <c r="F17" s="12" t="s">
        <v>18</v>
      </c>
      <c r="G17" s="12" t="s">
        <v>47</v>
      </c>
      <c r="H17" s="12" t="s">
        <v>47</v>
      </c>
    </row>
    <row r="18" spans="1:8" ht="15" thickBot="1" x14ac:dyDescent="0.35">
      <c r="A18" s="11"/>
      <c r="B18" s="13" t="s">
        <v>19</v>
      </c>
      <c r="C18" s="13" t="s">
        <v>53</v>
      </c>
      <c r="D18" s="13" t="s">
        <v>42</v>
      </c>
      <c r="E18" s="13" t="s">
        <v>51</v>
      </c>
      <c r="F18" s="13" t="s">
        <v>52</v>
      </c>
      <c r="G18" s="13" t="s">
        <v>48</v>
      </c>
      <c r="H18" s="13" t="s">
        <v>49</v>
      </c>
    </row>
    <row r="19" spans="1:8" x14ac:dyDescent="0.3">
      <c r="A19" s="11"/>
      <c r="B19" s="9" t="s">
        <v>40</v>
      </c>
      <c r="C19" s="8"/>
      <c r="D19" s="8"/>
      <c r="E19" s="8"/>
      <c r="F19" s="8"/>
      <c r="G19" s="8"/>
      <c r="H19" s="8"/>
    </row>
    <row r="20" spans="1:8" outlineLevel="1" x14ac:dyDescent="0.3">
      <c r="A20" s="11"/>
      <c r="B20" s="14" t="s">
        <v>29</v>
      </c>
      <c r="C20" s="14" t="s">
        <v>30</v>
      </c>
      <c r="D20" s="14">
        <v>146.58333333333331</v>
      </c>
      <c r="E20" s="14">
        <v>0</v>
      </c>
      <c r="F20" s="14">
        <v>788</v>
      </c>
      <c r="G20" s="14">
        <v>1E+30</v>
      </c>
      <c r="H20" s="14">
        <v>641.41666666666674</v>
      </c>
    </row>
    <row r="21" spans="1:8" outlineLevel="1" x14ac:dyDescent="0.3">
      <c r="A21" s="11"/>
      <c r="B21" s="14" t="s">
        <v>31</v>
      </c>
      <c r="C21" s="14" t="s">
        <v>32</v>
      </c>
      <c r="D21" s="14">
        <v>216.16666666666666</v>
      </c>
      <c r="E21" s="14">
        <v>0</v>
      </c>
      <c r="F21" s="14">
        <v>661</v>
      </c>
      <c r="G21" s="14">
        <v>1E+30</v>
      </c>
      <c r="H21" s="14">
        <v>444.83333333333337</v>
      </c>
    </row>
    <row r="22" spans="1:8" outlineLevel="1" x14ac:dyDescent="0.3">
      <c r="A22" s="11"/>
      <c r="B22" s="14" t="s">
        <v>33</v>
      </c>
      <c r="C22" s="14" t="s">
        <v>34</v>
      </c>
      <c r="D22" s="14">
        <v>458</v>
      </c>
      <c r="E22" s="14">
        <v>4.416666666666667</v>
      </c>
      <c r="F22" s="14">
        <v>458</v>
      </c>
      <c r="G22" s="14">
        <v>365.21428571428572</v>
      </c>
      <c r="H22" s="14">
        <v>190.5</v>
      </c>
    </row>
    <row r="23" spans="1:8" outlineLevel="1" x14ac:dyDescent="0.3">
      <c r="A23" s="11"/>
      <c r="B23" s="14" t="s">
        <v>35</v>
      </c>
      <c r="C23" s="14" t="s">
        <v>36</v>
      </c>
      <c r="D23" s="14">
        <v>578.91666666666663</v>
      </c>
      <c r="E23" s="14">
        <v>0</v>
      </c>
      <c r="F23" s="14">
        <v>1005</v>
      </c>
      <c r="G23" s="14">
        <v>1E+30</v>
      </c>
      <c r="H23" s="14">
        <v>426.08333333333337</v>
      </c>
    </row>
    <row r="24" spans="1:8" ht="15" outlineLevel="1" thickBot="1" x14ac:dyDescent="0.35">
      <c r="A24" s="11"/>
      <c r="B24" s="15" t="s">
        <v>37</v>
      </c>
      <c r="C24" s="15" t="s">
        <v>38</v>
      </c>
      <c r="D24" s="15">
        <v>535</v>
      </c>
      <c r="E24" s="15">
        <v>6.9583333333333321</v>
      </c>
      <c r="F24" s="15">
        <v>535</v>
      </c>
      <c r="G24" s="15">
        <v>381</v>
      </c>
      <c r="H24" s="15">
        <v>351.8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Модель</vt:lpstr>
      <vt:lpstr>Звіт про стійкість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Khvostova Oleksandra</cp:lastModifiedBy>
  <cp:revision>0</cp:revision>
  <dcterms:created xsi:type="dcterms:W3CDTF">2026-09-29T20:11:03Z</dcterms:created>
  <dcterms:modified xsi:type="dcterms:W3CDTF">2026-10-07T11:07:52Z</dcterms:modified>
  <dc:language>en-US</dc:language>
</cp:coreProperties>
</file>